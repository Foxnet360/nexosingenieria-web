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<sst xmlns="http://schemas.openxmlformats.org/spreadsheetml/2006/main" count="52" uniqueCount="47">
  <si>
    <t>Nombre de la marca</t>
  </si>
  <si>
    <t>Descripción de la compañía</t>
  </si>
  <si>
    <t>Categoría</t>
  </si>
  <si>
    <t>Dirección URL</t>
  </si>
  <si>
    <t>Axis Communications</t>
  </si>
  <si>
    <t>Fabricante sueco líder mundial en soluciones de videovigilancia IP, cámaras en red, control de acceso, audio IP y analítica de video basada en inteligencia artificial.</t>
  </si>
  <si>
    <t>Seguridad Electrónica</t>
  </si>
  <si>
    <t>Bosch Security and Safety Systems</t>
  </si>
  <si>
    <t>División de seguridad del Grupo Bosch, especializada en sistemas integrados de videovigilancia, detección y extinción de incendios, control de accesos, intrusión y comunicaciones de evacuación por voz.</t>
  </si>
  <si>
    <t>Dahua Technology</t>
  </si>
  <si>
    <t>Proveedor global de soluciones y servicios de IoT centrados en video, especializado en videovigilancia IP, analítica y control de acceso con alta relación costo-rendimiento.</t>
  </si>
  <si>
    <t>Tyco / Johnson Controls</t>
  </si>
  <si>
    <t>Corporación multinacional especializada en plataformas de seguridad física empresarial, control de acceso centralizado, gestión de video y soluciones de seguridad integrada.</t>
  </si>
  <si>
    <t>Leviton (Network Solutions)</t>
  </si>
  <si>
    <t>Fabricante estadounidense especializado en infraestructura de telecomunicaciones, cableado estructurado en cobre (Cat 6/6A) y fibra óptica con garantías extendidas de canal.</t>
  </si>
  <si>
    <t>Cableado Estructurado</t>
  </si>
  <si>
    <t>Allied Telesis</t>
  </si>
  <si>
    <t>Fabricante global de soluciones de conectividad IP, switches empresariales de alta disponibilidad, enrutadores y redes convergentes seguras.</t>
  </si>
  <si>
    <t>Redes y Conectividad</t>
  </si>
  <si>
    <t>Schneider Electric</t>
  </si>
  <si>
    <t>Multinacional especialista en gestión de energía y automatización, creadora de la arquitectura abierta e interoperable EcoStruxure para edificios inteligentes y eficiencia energética.</t>
  </si>
  <si>
    <t>Energía y Automatización (BMS)</t>
  </si>
  <si>
    <t>Lutron Electronics</t>
  </si>
  <si>
    <t>Empresa líder en sistemas de control inteligente de iluminación, atenuación (dimming), cortinas automatizadas y optimización del consumo eléctrico en oficinas y hotelería.</t>
  </si>
  <si>
    <t>Automatización e Iluminación</t>
  </si>
  <si>
    <t>Control4 (Snap One)</t>
  </si>
  <si>
    <t>Plataforma de automatización inteligente y domótica integrada para espacios residenciales premium, hotelería y salas corporativas.</t>
  </si>
  <si>
    <t>Automatización y Domótica</t>
  </si>
  <si>
    <t>Siemens (Desigo CC)</t>
  </si>
  <si>
    <t>Conglomerado tecnológico multinacional cuya plataforma Desigo CC integra y centraliza la supervisión de climatización (HVAC), iluminación, energía y seguridad en edificios (BMS).</t>
  </si>
  <si>
    <t>Automatización y BMS</t>
  </si>
  <si>
    <t>The Siemon Company (Siemon)</t>
  </si>
  <si>
    <t>Fabricante líder de sistemas de cableado de telecomunicaciones de alto rendimiento (Cat 6A, Cat 7A TERA y fibra óptica), en donde Nexos cuenta con certificación técnica de diseño e instalación.</t>
  </si>
  <si>
    <t>Cisco / Cisco Meraki</t>
  </si>
  <si>
    <t>Proveedor de infraestructura de conectividad gestionada en la nube, switches 10G, puntos de acceso Wi-Fi y appliances de seguridad convergente.</t>
  </si>
  <si>
    <t>Redes y Comunicaciones</t>
  </si>
  <si>
    <t>HID Global</t>
  </si>
  <si>
    <t>Desarrollador de tecnologías de identificación segura, credenciales móviles, biometría y lectores de control de acceso físico y digital.</t>
  </si>
  <si>
    <t>Honeywell Building Technologies</t>
  </si>
  <si>
    <t>Multinacional de tecnología para edificios que suministra sistemas de detección de incendios, control de accesos, intrusión y control ambiental.</t>
  </si>
  <si>
    <t>Seguridad y Automatización</t>
  </si>
  <si>
    <t>Cambium Networks</t>
  </si>
  <si>
    <t>Fabricante de soluciones inalámbricas fijas de banda ancha, enlaces punto a punto y redes Wi-Fi de nivel empresarial para conectividad extendida.</t>
  </si>
  <si>
    <t>Redes y Conectividad Inalámbrica</t>
  </si>
  <si>
    <t>Russound</t>
  </si>
  <si>
    <t>Fabricante especializado en sistemas de audio distribuido multizona y soluciones de sonorización para proyectos residenciales y comerciales.</t>
  </si>
  <si>
    <t>Audio y Video / Domótica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</si>
</sst>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0.13"/>
    <col customWidth="1" min="3" max="3" width="22.63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4" t="str">
        <f>HYPERLINK("https://www.axis.com", "https://www.axis.com")</f>
        <v>#ERROR!</v>
      </c>
    </row>
    <row r="3">
      <c r="A3" s="2" t="s">
        <v>7</v>
      </c>
      <c r="B3" s="3" t="s">
        <v>8</v>
      </c>
      <c r="C3" s="2" t="s">
        <v>6</v>
      </c>
      <c r="D3" s="4" t="str">
        <f>HYPERLINK("https://www.boschsecurity.com", "https://www.boschsecurity.com")</f>
        <v>#ERROR!</v>
      </c>
    </row>
    <row r="4">
      <c r="A4" s="2" t="s">
        <v>9</v>
      </c>
      <c r="B4" s="3" t="s">
        <v>10</v>
      </c>
      <c r="C4" s="2" t="s">
        <v>6</v>
      </c>
      <c r="D4" s="4" t="str">
        <f>HYPERLINK("https://www.dahuasecurity.com", "https://www.dahuasecurity.com")</f>
        <v>#ERROR!</v>
      </c>
    </row>
    <row r="5">
      <c r="A5" s="2" t="s">
        <v>11</v>
      </c>
      <c r="B5" s="3" t="s">
        <v>12</v>
      </c>
      <c r="C5" s="2" t="s">
        <v>6</v>
      </c>
      <c r="D5" s="4" t="str">
        <f>HYPERLINK("https://www.johnsoncontrols.com", "https://www.johnsoncontrols.com")</f>
        <v>#ERROR!</v>
      </c>
    </row>
    <row r="6">
      <c r="A6" s="2" t="s">
        <v>13</v>
      </c>
      <c r="B6" s="3" t="s">
        <v>14</v>
      </c>
      <c r="C6" s="2" t="s">
        <v>15</v>
      </c>
      <c r="D6" s="4" t="str">
        <f>HYPERLINK("https://www.leviton.com", "https://www.leviton.com")</f>
        <v>#ERROR!</v>
      </c>
    </row>
    <row r="7">
      <c r="A7" s="2" t="s">
        <v>16</v>
      </c>
      <c r="B7" s="3" t="s">
        <v>17</v>
      </c>
      <c r="C7" s="2" t="s">
        <v>18</v>
      </c>
      <c r="D7" s="4" t="str">
        <f>HYPERLINK("https://www.alliedtelesis.com", "https://www.alliedtelesis.com")</f>
        <v>#ERROR!</v>
      </c>
    </row>
    <row r="8">
      <c r="A8" s="2" t="s">
        <v>19</v>
      </c>
      <c r="B8" s="3" t="s">
        <v>20</v>
      </c>
      <c r="C8" s="2" t="s">
        <v>21</v>
      </c>
      <c r="D8" s="4" t="str">
        <f>HYPERLINK("https://www.se.com", "https://www.se.com")</f>
        <v>#ERROR!</v>
      </c>
    </row>
    <row r="9">
      <c r="A9" s="2" t="s">
        <v>22</v>
      </c>
      <c r="B9" s="3" t="s">
        <v>23</v>
      </c>
      <c r="C9" s="2" t="s">
        <v>24</v>
      </c>
      <c r="D9" s="4" t="str">
        <f>HYPERLINK("https://www.lutron.com", "https://www.lutron.com")</f>
        <v>#ERROR!</v>
      </c>
    </row>
    <row r="10">
      <c r="A10" s="2" t="s">
        <v>25</v>
      </c>
      <c r="B10" s="3" t="s">
        <v>26</v>
      </c>
      <c r="C10" s="2" t="s">
        <v>27</v>
      </c>
      <c r="D10" s="4" t="str">
        <f>HYPERLINK("https://www.control4.com", "https://www.control4.com")</f>
        <v>#ERROR!</v>
      </c>
    </row>
    <row r="11">
      <c r="A11" s="2" t="s">
        <v>28</v>
      </c>
      <c r="B11" s="3" t="s">
        <v>29</v>
      </c>
      <c r="C11" s="2" t="s">
        <v>30</v>
      </c>
      <c r="D11" s="4" t="str">
        <f>HYPERLINK("https://www.siemens.com", "https://www.siemens.com")</f>
        <v>#ERROR!</v>
      </c>
    </row>
    <row r="12">
      <c r="A12" s="2" t="s">
        <v>31</v>
      </c>
      <c r="B12" s="3" t="s">
        <v>32</v>
      </c>
      <c r="C12" s="2" t="s">
        <v>15</v>
      </c>
      <c r="D12" s="4" t="str">
        <f>HYPERLINK("https://www.siemon.com", "https://www.siemon.com")</f>
        <v>#ERROR!</v>
      </c>
    </row>
    <row r="13">
      <c r="A13" s="2" t="s">
        <v>33</v>
      </c>
      <c r="B13" s="3" t="s">
        <v>34</v>
      </c>
      <c r="C13" s="2" t="s">
        <v>35</v>
      </c>
      <c r="D13" s="4" t="str">
        <f>HYPERLINK("https://meraki.cisco.com", "https://meraki.cisco.com")</f>
        <v>#ERROR!</v>
      </c>
    </row>
    <row r="14">
      <c r="A14" s="2" t="s">
        <v>36</v>
      </c>
      <c r="B14" s="3" t="s">
        <v>37</v>
      </c>
      <c r="C14" s="2" t="s">
        <v>6</v>
      </c>
      <c r="D14" s="4" t="str">
        <f>HYPERLINK("https://www.hidglobal.com", "https://www.hidglobal.com")</f>
        <v>#ERROR!</v>
      </c>
    </row>
    <row r="15">
      <c r="A15" s="2" t="s">
        <v>38</v>
      </c>
      <c r="B15" s="3" t="s">
        <v>39</v>
      </c>
      <c r="C15" s="2" t="s">
        <v>40</v>
      </c>
      <c r="D15" s="4" t="str">
        <f>HYPERLINK("https://www.honeywell.com", "https://www.honeywell.com")</f>
        <v>#ERROR!</v>
      </c>
    </row>
    <row r="16">
      <c r="A16" s="2" t="s">
        <v>41</v>
      </c>
      <c r="B16" s="3" t="s">
        <v>42</v>
      </c>
      <c r="C16" s="2" t="s">
        <v>43</v>
      </c>
      <c r="D16" s="4" t="str">
        <f>HYPERLINK("https://www.cambiumnetworks.com", "https://www.cambiumnetworks.com")</f>
        <v>#ERROR!</v>
      </c>
    </row>
    <row r="17">
      <c r="A17" s="2" t="s">
        <v>44</v>
      </c>
      <c r="B17" s="3" t="s">
        <v>45</v>
      </c>
      <c r="C17" s="2" t="s">
        <v>46</v>
      </c>
      <c r="D17" s="4" t="str">
        <f>HYPERLINK("https://www.russound.com", "https://www.russound.com")</f>
        <v>#ERROR!</v>
      </c>
    </row>
  </sheetData>
  <drawing r:id="rId1"/>
  <tableParts count="1">
    <tablePart r:id="rId3"/>
  </tableParts>
</worksheet>
</file>